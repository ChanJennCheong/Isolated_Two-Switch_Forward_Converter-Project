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<sst xmlns="http://schemas.openxmlformats.org/spreadsheetml/2006/main" count="55" uniqueCount="17">
  <si>
    <t>Vin=10V</t>
  </si>
  <si>
    <t>Resistance</t>
  </si>
  <si>
    <t>Duty Cycle</t>
  </si>
  <si>
    <t>Vin</t>
  </si>
  <si>
    <t>Iin</t>
  </si>
  <si>
    <t>Vout</t>
  </si>
  <si>
    <t>Iout</t>
  </si>
  <si>
    <t>Efficiency</t>
  </si>
  <si>
    <t>Vin=20V</t>
  </si>
  <si>
    <t>Vin=30V</t>
  </si>
  <si>
    <t xml:space="preserve">  </t>
  </si>
  <si>
    <t>35V</t>
  </si>
  <si>
    <t>42V</t>
  </si>
  <si>
    <t>AC OPEN LOOPN</t>
  </si>
  <si>
    <t>Vin=35V</t>
  </si>
  <si>
    <t>AC CLOSE LOOPN</t>
  </si>
  <si>
    <t>Vin =35V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</si>
</sst>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0.00_ "/>
    <numFmt numFmtId="181" formatCode="0.000_ 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80" fontId="0" fillId="0" borderId="0" xfId="0" applyNumberFormat="1"/>
    <xf numFmtId="18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8"/>
  <sheetViews>
    <sheetView tabSelected="1" zoomScale="114" zoomScaleNormal="114" topLeftCell="A102" workbookViewId="0">
      <selection activeCell="F139" sqref="F139"/>
    </sheetView>
  </sheetViews>
  <sheetFormatPr defaultColWidth="9" defaultRowHeight="13.8"/>
  <cols>
    <col min="1" max="1" width="11.5583333333333" customWidth="1"/>
    <col min="2" max="2" width="9.775" customWidth="1"/>
    <col min="7" max="7" width="20.4416666666667" customWidth="1"/>
    <col min="8" max="8" width="12.8"/>
  </cols>
  <sheetData>
    <row r="1" spans="1:1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5</v>
      </c>
      <c r="B3">
        <v>10</v>
      </c>
      <c r="C3">
        <v>10</v>
      </c>
      <c r="D3">
        <v>0.01</v>
      </c>
      <c r="E3">
        <v>0.52</v>
      </c>
      <c r="F3">
        <v>0.1</v>
      </c>
      <c r="G3">
        <f>F3*E3/(D3*C3)</f>
        <v>0.52</v>
      </c>
      <c r="H3">
        <f>G3*100</f>
        <v>52</v>
      </c>
    </row>
    <row r="4" spans="1:8">
      <c r="A4">
        <v>5</v>
      </c>
      <c r="B4">
        <v>20</v>
      </c>
      <c r="C4">
        <v>10</v>
      </c>
      <c r="D4">
        <v>0.05</v>
      </c>
      <c r="E4">
        <v>1.1</v>
      </c>
      <c r="F4">
        <v>0.21</v>
      </c>
      <c r="G4">
        <f t="shared" ref="G4:G67" si="0">F4*E4/(D4*C4)</f>
        <v>0.462</v>
      </c>
      <c r="H4">
        <f t="shared" ref="H4:H67" si="1">G4*100</f>
        <v>46.2</v>
      </c>
    </row>
    <row r="5" spans="1:8">
      <c r="A5">
        <v>5</v>
      </c>
      <c r="B5">
        <v>30</v>
      </c>
      <c r="C5">
        <v>10</v>
      </c>
      <c r="D5">
        <v>0.12</v>
      </c>
      <c r="E5">
        <v>1.73</v>
      </c>
      <c r="F5">
        <v>0.34</v>
      </c>
      <c r="G5">
        <f t="shared" si="0"/>
        <v>0.490166666666667</v>
      </c>
      <c r="H5">
        <f t="shared" si="1"/>
        <v>49.0166666666667</v>
      </c>
    </row>
    <row r="6" spans="1:8">
      <c r="A6">
        <v>5</v>
      </c>
      <c r="B6">
        <v>40</v>
      </c>
      <c r="C6">
        <v>10</v>
      </c>
      <c r="D6">
        <v>0.22</v>
      </c>
      <c r="E6">
        <v>2.42</v>
      </c>
      <c r="F6">
        <v>0.48</v>
      </c>
      <c r="G6">
        <f t="shared" si="0"/>
        <v>0.528</v>
      </c>
      <c r="H6">
        <f t="shared" si="1"/>
        <v>52.8</v>
      </c>
    </row>
    <row r="7" spans="1:8">
      <c r="A7">
        <v>2.5</v>
      </c>
      <c r="B7">
        <v>10</v>
      </c>
      <c r="C7">
        <v>10</v>
      </c>
      <c r="D7">
        <v>0.03</v>
      </c>
      <c r="E7">
        <v>0.43</v>
      </c>
      <c r="F7">
        <v>0.16</v>
      </c>
      <c r="G7">
        <f t="shared" si="0"/>
        <v>0.229333333333333</v>
      </c>
      <c r="H7">
        <f t="shared" si="1"/>
        <v>22.9333333333333</v>
      </c>
    </row>
    <row r="8" spans="1:14">
      <c r="A8">
        <v>2.5</v>
      </c>
      <c r="B8">
        <v>20</v>
      </c>
      <c r="C8">
        <v>10</v>
      </c>
      <c r="D8">
        <v>0.08</v>
      </c>
      <c r="E8" s="1">
        <v>0.94</v>
      </c>
      <c r="F8">
        <v>0.37</v>
      </c>
      <c r="G8">
        <f t="shared" si="0"/>
        <v>0.43475</v>
      </c>
      <c r="H8">
        <f t="shared" si="1"/>
        <v>43.475</v>
      </c>
      <c r="N8" s="1"/>
    </row>
    <row r="9" spans="1:8">
      <c r="A9">
        <v>2.5</v>
      </c>
      <c r="B9">
        <v>30</v>
      </c>
      <c r="C9">
        <v>10</v>
      </c>
      <c r="D9">
        <v>0.21</v>
      </c>
      <c r="E9">
        <v>1.58</v>
      </c>
      <c r="F9">
        <v>0.63</v>
      </c>
      <c r="G9">
        <f t="shared" si="0"/>
        <v>0.474</v>
      </c>
      <c r="H9">
        <f t="shared" si="1"/>
        <v>47.4</v>
      </c>
    </row>
    <row r="10" spans="1:8">
      <c r="A10">
        <v>2.5</v>
      </c>
      <c r="B10">
        <v>40</v>
      </c>
      <c r="C10">
        <v>10</v>
      </c>
      <c r="D10">
        <v>0.35</v>
      </c>
      <c r="E10">
        <v>2.05</v>
      </c>
      <c r="F10">
        <v>0.82</v>
      </c>
      <c r="G10">
        <f t="shared" si="0"/>
        <v>0.480285714285714</v>
      </c>
      <c r="H10">
        <f t="shared" si="1"/>
        <v>48.0285714285714</v>
      </c>
    </row>
    <row r="11" spans="1:14">
      <c r="A11">
        <v>1.67</v>
      </c>
      <c r="B11">
        <v>10</v>
      </c>
      <c r="C11">
        <v>10</v>
      </c>
      <c r="D11">
        <v>0.03</v>
      </c>
      <c r="E11" s="1">
        <v>0.33</v>
      </c>
      <c r="F11">
        <v>0.19</v>
      </c>
      <c r="G11">
        <f t="shared" si="0"/>
        <v>0.209</v>
      </c>
      <c r="H11">
        <f t="shared" si="1"/>
        <v>20.9</v>
      </c>
      <c r="N11" s="1"/>
    </row>
    <row r="12" spans="1:8">
      <c r="A12">
        <v>1.67</v>
      </c>
      <c r="B12">
        <v>20</v>
      </c>
      <c r="C12">
        <v>10</v>
      </c>
      <c r="D12">
        <v>0.11</v>
      </c>
      <c r="E12">
        <v>0.83</v>
      </c>
      <c r="F12">
        <v>0.49</v>
      </c>
      <c r="G12">
        <f t="shared" si="0"/>
        <v>0.369727272727273</v>
      </c>
      <c r="H12">
        <f t="shared" si="1"/>
        <v>36.9727272727273</v>
      </c>
    </row>
    <row r="13" spans="1:15">
      <c r="A13">
        <v>1.67</v>
      </c>
      <c r="B13">
        <v>30</v>
      </c>
      <c r="C13">
        <v>10</v>
      </c>
      <c r="D13">
        <v>0.26</v>
      </c>
      <c r="E13" s="1">
        <v>1.35</v>
      </c>
      <c r="F13" s="1">
        <v>0.8</v>
      </c>
      <c r="G13">
        <f t="shared" si="0"/>
        <v>0.415384615384615</v>
      </c>
      <c r="H13">
        <f t="shared" si="1"/>
        <v>41.5384615384615</v>
      </c>
      <c r="N13" s="1"/>
      <c r="O13" s="1"/>
    </row>
    <row r="14" spans="1:8">
      <c r="A14">
        <v>1.67</v>
      </c>
      <c r="B14">
        <v>40</v>
      </c>
      <c r="C14">
        <v>10</v>
      </c>
      <c r="D14" s="1">
        <v>0.44</v>
      </c>
      <c r="E14">
        <v>1.78</v>
      </c>
      <c r="F14">
        <v>1.06</v>
      </c>
      <c r="G14">
        <f t="shared" si="0"/>
        <v>0.428818181818182</v>
      </c>
      <c r="H14">
        <f t="shared" si="1"/>
        <v>42.8818181818182</v>
      </c>
    </row>
    <row r="15" spans="1:8">
      <c r="A15">
        <v>1.25</v>
      </c>
      <c r="B15">
        <v>10</v>
      </c>
      <c r="C15">
        <v>10</v>
      </c>
      <c r="D15">
        <v>0.03</v>
      </c>
      <c r="E15" s="1">
        <v>0.3</v>
      </c>
      <c r="F15">
        <v>0.23</v>
      </c>
      <c r="G15">
        <f t="shared" si="0"/>
        <v>0.23</v>
      </c>
      <c r="H15">
        <f t="shared" si="1"/>
        <v>23</v>
      </c>
    </row>
    <row r="16" spans="1:8">
      <c r="A16">
        <v>1.25</v>
      </c>
      <c r="B16">
        <v>20</v>
      </c>
      <c r="C16">
        <v>10</v>
      </c>
      <c r="D16">
        <v>0.12</v>
      </c>
      <c r="E16">
        <v>0.75</v>
      </c>
      <c r="F16">
        <v>0.59</v>
      </c>
      <c r="G16">
        <f t="shared" si="0"/>
        <v>0.36875</v>
      </c>
      <c r="H16">
        <f t="shared" si="1"/>
        <v>36.875</v>
      </c>
    </row>
    <row r="17" spans="1:8">
      <c r="A17">
        <v>1.25</v>
      </c>
      <c r="B17">
        <v>30</v>
      </c>
      <c r="C17">
        <v>10</v>
      </c>
      <c r="D17" s="1">
        <v>0.3</v>
      </c>
      <c r="E17" s="1">
        <v>1.2</v>
      </c>
      <c r="F17">
        <v>0.95</v>
      </c>
      <c r="G17">
        <f t="shared" si="0"/>
        <v>0.38</v>
      </c>
      <c r="H17">
        <f t="shared" si="1"/>
        <v>38</v>
      </c>
    </row>
    <row r="18" spans="1:8">
      <c r="A18">
        <v>1.25</v>
      </c>
      <c r="B18">
        <v>40</v>
      </c>
      <c r="C18">
        <v>10</v>
      </c>
      <c r="D18">
        <v>0.51</v>
      </c>
      <c r="E18">
        <v>1.57</v>
      </c>
      <c r="F18">
        <v>1.25</v>
      </c>
      <c r="G18">
        <f t="shared" si="0"/>
        <v>0.384803921568628</v>
      </c>
      <c r="H18">
        <f t="shared" si="1"/>
        <v>38.4803921568628</v>
      </c>
    </row>
    <row r="20" spans="1:1">
      <c r="A20" t="s">
        <v>8</v>
      </c>
    </row>
    <row r="21" spans="1:6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</row>
    <row r="22" spans="1:8">
      <c r="A22">
        <v>5</v>
      </c>
      <c r="B22">
        <v>10</v>
      </c>
      <c r="C22">
        <v>20</v>
      </c>
      <c r="D22">
        <v>0.04</v>
      </c>
      <c r="E22">
        <v>1.44</v>
      </c>
      <c r="F22">
        <v>0.28</v>
      </c>
      <c r="G22">
        <f t="shared" si="0"/>
        <v>0.504</v>
      </c>
      <c r="H22">
        <f t="shared" si="1"/>
        <v>50.4</v>
      </c>
    </row>
    <row r="23" spans="1:8">
      <c r="A23">
        <v>5</v>
      </c>
      <c r="B23">
        <v>20</v>
      </c>
      <c r="C23">
        <v>20</v>
      </c>
      <c r="D23">
        <v>0.13</v>
      </c>
      <c r="E23">
        <v>2.8</v>
      </c>
      <c r="F23">
        <v>0.56</v>
      </c>
      <c r="G23">
        <f t="shared" si="0"/>
        <v>0.603076923076923</v>
      </c>
      <c r="H23">
        <f t="shared" si="1"/>
        <v>60.3076923076923</v>
      </c>
    </row>
    <row r="24" spans="1:8">
      <c r="A24">
        <v>5</v>
      </c>
      <c r="B24">
        <v>30</v>
      </c>
      <c r="C24">
        <v>20</v>
      </c>
      <c r="D24">
        <v>0.28</v>
      </c>
      <c r="E24">
        <v>4.21</v>
      </c>
      <c r="F24">
        <v>0.84</v>
      </c>
      <c r="G24">
        <f t="shared" si="0"/>
        <v>0.6315</v>
      </c>
      <c r="H24">
        <f t="shared" si="1"/>
        <v>63.15</v>
      </c>
    </row>
    <row r="25" spans="1:8">
      <c r="A25">
        <v>5</v>
      </c>
      <c r="B25">
        <v>40</v>
      </c>
      <c r="C25">
        <v>20</v>
      </c>
      <c r="D25">
        <v>0.51</v>
      </c>
      <c r="E25">
        <v>5.71</v>
      </c>
      <c r="F25">
        <v>1.14</v>
      </c>
      <c r="G25">
        <f t="shared" si="0"/>
        <v>0.638176470588235</v>
      </c>
      <c r="H25">
        <f t="shared" si="1"/>
        <v>63.8176470588235</v>
      </c>
    </row>
    <row r="26" spans="1:8">
      <c r="A26">
        <v>2.5</v>
      </c>
      <c r="B26">
        <v>10</v>
      </c>
      <c r="C26">
        <v>20</v>
      </c>
      <c r="D26">
        <v>0.07</v>
      </c>
      <c r="E26" s="1">
        <v>1.31</v>
      </c>
      <c r="F26">
        <v>0.52</v>
      </c>
      <c r="G26">
        <f t="shared" si="0"/>
        <v>0.486571428571429</v>
      </c>
      <c r="H26">
        <f t="shared" si="1"/>
        <v>48.6571428571429</v>
      </c>
    </row>
    <row r="27" spans="1:8">
      <c r="A27">
        <v>2.5</v>
      </c>
      <c r="B27">
        <v>20</v>
      </c>
      <c r="C27">
        <v>20</v>
      </c>
      <c r="D27">
        <v>0.21</v>
      </c>
      <c r="E27" s="1">
        <v>2.42</v>
      </c>
      <c r="F27">
        <v>0.96</v>
      </c>
      <c r="G27">
        <f t="shared" si="0"/>
        <v>0.553142857142857</v>
      </c>
      <c r="H27">
        <f t="shared" si="1"/>
        <v>55.3142857142857</v>
      </c>
    </row>
    <row r="28" spans="1:8">
      <c r="A28">
        <v>2.5</v>
      </c>
      <c r="B28">
        <v>30</v>
      </c>
      <c r="C28">
        <v>20</v>
      </c>
      <c r="D28">
        <v>0.47</v>
      </c>
      <c r="E28">
        <v>3.67</v>
      </c>
      <c r="F28" s="1">
        <v>1.47</v>
      </c>
      <c r="G28">
        <f t="shared" si="0"/>
        <v>0.573925531914894</v>
      </c>
      <c r="H28">
        <f t="shared" si="1"/>
        <v>57.3925531914894</v>
      </c>
    </row>
    <row r="29" spans="1:8">
      <c r="A29">
        <v>2.5</v>
      </c>
      <c r="B29">
        <v>40</v>
      </c>
      <c r="C29">
        <v>20</v>
      </c>
      <c r="D29">
        <v>0.81</v>
      </c>
      <c r="E29">
        <v>4.85</v>
      </c>
      <c r="F29">
        <v>1.91</v>
      </c>
      <c r="G29">
        <f t="shared" si="0"/>
        <v>0.571820987654321</v>
      </c>
      <c r="H29">
        <f t="shared" si="1"/>
        <v>57.1820987654321</v>
      </c>
    </row>
    <row r="30" spans="1:8">
      <c r="A30">
        <v>1.67</v>
      </c>
      <c r="B30">
        <v>10</v>
      </c>
      <c r="C30">
        <v>20</v>
      </c>
      <c r="D30">
        <v>0.09</v>
      </c>
      <c r="E30">
        <v>1.16</v>
      </c>
      <c r="F30">
        <v>0.69</v>
      </c>
      <c r="G30">
        <f t="shared" si="0"/>
        <v>0.444666666666667</v>
      </c>
      <c r="H30">
        <f t="shared" si="1"/>
        <v>44.4666666666667</v>
      </c>
    </row>
    <row r="31" spans="1:8">
      <c r="A31">
        <v>1.67</v>
      </c>
      <c r="B31">
        <v>20</v>
      </c>
      <c r="C31">
        <v>20</v>
      </c>
      <c r="D31">
        <v>0.27</v>
      </c>
      <c r="E31">
        <v>2.13</v>
      </c>
      <c r="F31">
        <v>1.27</v>
      </c>
      <c r="G31">
        <f t="shared" si="0"/>
        <v>0.500944444444444</v>
      </c>
      <c r="H31">
        <f t="shared" si="1"/>
        <v>50.0944444444444</v>
      </c>
    </row>
    <row r="32" spans="1:8">
      <c r="A32">
        <v>1.67</v>
      </c>
      <c r="B32">
        <v>30</v>
      </c>
      <c r="C32">
        <v>20</v>
      </c>
      <c r="D32">
        <v>0.61</v>
      </c>
      <c r="E32" s="1">
        <v>3.27</v>
      </c>
      <c r="F32">
        <v>1.96</v>
      </c>
      <c r="G32">
        <f t="shared" si="0"/>
        <v>0.525344262295082</v>
      </c>
      <c r="H32">
        <f t="shared" si="1"/>
        <v>52.5344262295082</v>
      </c>
    </row>
    <row r="33" spans="1:8">
      <c r="A33">
        <v>1.67</v>
      </c>
      <c r="B33">
        <v>40</v>
      </c>
      <c r="C33">
        <v>20</v>
      </c>
      <c r="D33">
        <v>1.01</v>
      </c>
      <c r="E33" s="1">
        <v>4.2</v>
      </c>
      <c r="F33">
        <v>2.51</v>
      </c>
      <c r="G33">
        <f t="shared" si="0"/>
        <v>0.521881188118812</v>
      </c>
      <c r="H33">
        <f t="shared" si="1"/>
        <v>52.1881188118812</v>
      </c>
    </row>
    <row r="34" spans="1:8">
      <c r="A34">
        <v>1.25</v>
      </c>
      <c r="B34">
        <v>10</v>
      </c>
      <c r="C34">
        <v>20</v>
      </c>
      <c r="D34">
        <v>0.11</v>
      </c>
      <c r="E34">
        <v>1.07</v>
      </c>
      <c r="F34">
        <v>0.84</v>
      </c>
      <c r="G34">
        <f t="shared" si="0"/>
        <v>0.408545454545455</v>
      </c>
      <c r="H34">
        <f t="shared" si="1"/>
        <v>40.8545454545455</v>
      </c>
    </row>
    <row r="35" spans="1:8">
      <c r="A35">
        <v>1.25</v>
      </c>
      <c r="B35">
        <v>20</v>
      </c>
      <c r="C35">
        <v>20</v>
      </c>
      <c r="D35">
        <v>0.32</v>
      </c>
      <c r="E35">
        <v>1.94</v>
      </c>
      <c r="F35">
        <v>1.53</v>
      </c>
      <c r="G35">
        <f t="shared" si="0"/>
        <v>0.46378125</v>
      </c>
      <c r="H35">
        <f t="shared" si="1"/>
        <v>46.378125</v>
      </c>
    </row>
    <row r="36" spans="1:8">
      <c r="A36">
        <v>1.25</v>
      </c>
      <c r="B36">
        <v>30</v>
      </c>
      <c r="C36">
        <v>20</v>
      </c>
      <c r="D36">
        <v>0.74</v>
      </c>
      <c r="E36">
        <v>3</v>
      </c>
      <c r="F36" s="1">
        <v>2.38</v>
      </c>
      <c r="G36">
        <f t="shared" si="0"/>
        <v>0.482432432432432</v>
      </c>
      <c r="H36">
        <f t="shared" si="1"/>
        <v>48.2432432432432</v>
      </c>
    </row>
    <row r="37" spans="1:8">
      <c r="A37">
        <v>1.25</v>
      </c>
      <c r="B37">
        <v>40</v>
      </c>
      <c r="C37">
        <v>20</v>
      </c>
      <c r="D37">
        <v>1.2</v>
      </c>
      <c r="E37">
        <v>3.79</v>
      </c>
      <c r="F37">
        <v>3</v>
      </c>
      <c r="G37">
        <f>(F37*E37)/(D37*C37)</f>
        <v>0.47375</v>
      </c>
      <c r="H37">
        <f t="shared" si="1"/>
        <v>47.375</v>
      </c>
    </row>
    <row r="39" spans="1:1">
      <c r="A39" t="s">
        <v>9</v>
      </c>
    </row>
    <row r="40" spans="1:6">
      <c r="A40" t="s">
        <v>1</v>
      </c>
      <c r="B40" t="s">
        <v>2</v>
      </c>
      <c r="C40" t="s">
        <v>3</v>
      </c>
      <c r="D40" t="s">
        <v>4</v>
      </c>
      <c r="E40" t="s">
        <v>5</v>
      </c>
      <c r="F40" t="s">
        <v>6</v>
      </c>
    </row>
    <row r="41" spans="1:8">
      <c r="A41">
        <v>5</v>
      </c>
      <c r="B41">
        <v>10</v>
      </c>
      <c r="C41">
        <v>30</v>
      </c>
      <c r="D41">
        <v>0.07</v>
      </c>
      <c r="E41">
        <v>2.39</v>
      </c>
      <c r="F41">
        <v>0.48</v>
      </c>
      <c r="G41">
        <f t="shared" si="0"/>
        <v>0.546285714285714</v>
      </c>
      <c r="H41">
        <f t="shared" si="1"/>
        <v>54.6285714285714</v>
      </c>
    </row>
    <row r="42" spans="1:8">
      <c r="A42">
        <v>5</v>
      </c>
      <c r="B42">
        <v>20</v>
      </c>
      <c r="C42">
        <v>30</v>
      </c>
      <c r="D42">
        <v>0.21</v>
      </c>
      <c r="E42">
        <v>4.51</v>
      </c>
      <c r="F42">
        <v>0.9</v>
      </c>
      <c r="G42">
        <f t="shared" si="0"/>
        <v>0.644285714285714</v>
      </c>
      <c r="H42">
        <f t="shared" si="1"/>
        <v>64.4285714285714</v>
      </c>
    </row>
    <row r="43" spans="1:8">
      <c r="A43">
        <v>5</v>
      </c>
      <c r="B43">
        <v>30</v>
      </c>
      <c r="C43">
        <v>30</v>
      </c>
      <c r="D43">
        <v>0.44</v>
      </c>
      <c r="E43">
        <v>6.62</v>
      </c>
      <c r="F43">
        <v>1.33</v>
      </c>
      <c r="G43">
        <f t="shared" si="0"/>
        <v>0.667015151515152</v>
      </c>
      <c r="H43">
        <f t="shared" si="1"/>
        <v>66.7015151515152</v>
      </c>
    </row>
    <row r="44" spans="1:8">
      <c r="A44">
        <v>5</v>
      </c>
      <c r="B44">
        <v>40</v>
      </c>
      <c r="C44">
        <v>30</v>
      </c>
      <c r="D44">
        <v>0.82</v>
      </c>
      <c r="E44">
        <v>9.04</v>
      </c>
      <c r="F44">
        <v>1.82</v>
      </c>
      <c r="G44">
        <f>(F44*E44)/(D44*C44)</f>
        <v>0.668813008130081</v>
      </c>
      <c r="H44">
        <f t="shared" si="1"/>
        <v>66.8813008130081</v>
      </c>
    </row>
    <row r="45" spans="1:8">
      <c r="A45">
        <v>2.5</v>
      </c>
      <c r="B45">
        <v>10</v>
      </c>
      <c r="C45">
        <v>30</v>
      </c>
      <c r="D45" s="1">
        <v>0.1</v>
      </c>
      <c r="E45">
        <v>2.01</v>
      </c>
      <c r="F45">
        <v>0.8</v>
      </c>
      <c r="G45">
        <f t="shared" si="0"/>
        <v>0.536</v>
      </c>
      <c r="H45">
        <f t="shared" si="1"/>
        <v>53.6</v>
      </c>
    </row>
    <row r="46" spans="1:8">
      <c r="A46">
        <v>2.5</v>
      </c>
      <c r="B46">
        <v>20</v>
      </c>
      <c r="C46">
        <v>30</v>
      </c>
      <c r="D46">
        <v>0.34</v>
      </c>
      <c r="E46">
        <v>3.9</v>
      </c>
      <c r="F46" s="1">
        <v>1.56</v>
      </c>
      <c r="G46">
        <f t="shared" si="0"/>
        <v>0.596470588235294</v>
      </c>
      <c r="H46">
        <f t="shared" si="1"/>
        <v>59.6470588235294</v>
      </c>
    </row>
    <row r="47" spans="1:8">
      <c r="A47">
        <v>2.5</v>
      </c>
      <c r="B47">
        <v>30</v>
      </c>
      <c r="C47">
        <v>30</v>
      </c>
      <c r="D47">
        <v>0.73</v>
      </c>
      <c r="E47">
        <v>5.79</v>
      </c>
      <c r="F47">
        <v>2.3</v>
      </c>
      <c r="G47">
        <f t="shared" si="0"/>
        <v>0.608082191780822</v>
      </c>
      <c r="H47">
        <f t="shared" si="1"/>
        <v>60.8082191780822</v>
      </c>
    </row>
    <row r="48" spans="1:8">
      <c r="A48">
        <v>2.5</v>
      </c>
      <c r="B48">
        <v>40</v>
      </c>
      <c r="C48">
        <v>30</v>
      </c>
      <c r="D48">
        <v>1.3</v>
      </c>
      <c r="E48">
        <v>7.7</v>
      </c>
      <c r="F48">
        <v>3.09</v>
      </c>
      <c r="G48">
        <f t="shared" si="0"/>
        <v>0.610076923076923</v>
      </c>
      <c r="H48">
        <f t="shared" si="1"/>
        <v>61.0076923076923</v>
      </c>
    </row>
    <row r="49" spans="1:8">
      <c r="A49">
        <v>1.67</v>
      </c>
      <c r="B49">
        <v>10</v>
      </c>
      <c r="C49">
        <v>30</v>
      </c>
      <c r="D49">
        <v>0.14</v>
      </c>
      <c r="E49">
        <v>1.85</v>
      </c>
      <c r="F49">
        <v>1.1</v>
      </c>
      <c r="G49">
        <f t="shared" si="0"/>
        <v>0.48452380952381</v>
      </c>
      <c r="H49">
        <f t="shared" si="1"/>
        <v>48.4523809523809</v>
      </c>
    </row>
    <row r="50" spans="1:10">
      <c r="A50">
        <v>1.67</v>
      </c>
      <c r="B50">
        <v>20</v>
      </c>
      <c r="C50">
        <v>30</v>
      </c>
      <c r="D50">
        <v>0.44</v>
      </c>
      <c r="E50">
        <v>3.47</v>
      </c>
      <c r="F50">
        <v>2.07</v>
      </c>
      <c r="G50">
        <f t="shared" si="0"/>
        <v>0.544159090909091</v>
      </c>
      <c r="H50">
        <f t="shared" si="1"/>
        <v>54.4159090909091</v>
      </c>
      <c r="J50" t="s">
        <v>10</v>
      </c>
    </row>
    <row r="51" spans="1:8">
      <c r="A51">
        <v>1.67</v>
      </c>
      <c r="B51">
        <v>30</v>
      </c>
      <c r="C51">
        <v>30</v>
      </c>
      <c r="D51">
        <v>0.96</v>
      </c>
      <c r="E51">
        <v>5.18</v>
      </c>
      <c r="F51">
        <v>3.1</v>
      </c>
      <c r="G51">
        <f t="shared" si="0"/>
        <v>0.557569444444444</v>
      </c>
      <c r="H51">
        <f t="shared" si="1"/>
        <v>55.7569444444444</v>
      </c>
    </row>
    <row r="52" spans="1:8">
      <c r="A52">
        <v>1.67</v>
      </c>
      <c r="B52">
        <v>40</v>
      </c>
      <c r="C52">
        <v>30</v>
      </c>
      <c r="D52">
        <v>1.64</v>
      </c>
      <c r="E52">
        <v>6.73</v>
      </c>
      <c r="F52">
        <v>4.08</v>
      </c>
      <c r="G52">
        <f t="shared" si="0"/>
        <v>0.55809756097561</v>
      </c>
      <c r="H52">
        <f t="shared" si="1"/>
        <v>55.809756097561</v>
      </c>
    </row>
    <row r="53" spans="1:8">
      <c r="A53">
        <v>1.25</v>
      </c>
      <c r="B53">
        <v>10</v>
      </c>
      <c r="C53">
        <v>30</v>
      </c>
      <c r="D53">
        <v>0.18</v>
      </c>
      <c r="E53">
        <v>1.76</v>
      </c>
      <c r="F53">
        <v>1.42</v>
      </c>
      <c r="G53">
        <f t="shared" si="0"/>
        <v>0.462814814814815</v>
      </c>
      <c r="H53">
        <f t="shared" si="1"/>
        <v>46.2814814814815</v>
      </c>
    </row>
    <row r="54" spans="1:8">
      <c r="A54">
        <v>1.25</v>
      </c>
      <c r="B54">
        <v>20</v>
      </c>
      <c r="C54">
        <v>30</v>
      </c>
      <c r="D54">
        <v>0.51</v>
      </c>
      <c r="E54">
        <v>3.12</v>
      </c>
      <c r="F54">
        <v>2.49</v>
      </c>
      <c r="G54">
        <f t="shared" si="0"/>
        <v>0.507764705882353</v>
      </c>
      <c r="H54">
        <f t="shared" si="1"/>
        <v>50.7764705882353</v>
      </c>
    </row>
    <row r="55" spans="1:8">
      <c r="A55">
        <v>1.25</v>
      </c>
      <c r="B55">
        <v>30</v>
      </c>
      <c r="C55">
        <v>30</v>
      </c>
      <c r="D55">
        <v>1.33</v>
      </c>
      <c r="E55">
        <v>4.89</v>
      </c>
      <c r="F55">
        <v>3.88</v>
      </c>
      <c r="G55">
        <f t="shared" si="0"/>
        <v>0.475518796992481</v>
      </c>
      <c r="H55">
        <f t="shared" si="1"/>
        <v>47.5518796992481</v>
      </c>
    </row>
    <row r="56" spans="1:8">
      <c r="A56">
        <v>1.25</v>
      </c>
      <c r="B56">
        <v>40</v>
      </c>
      <c r="C56">
        <v>30</v>
      </c>
      <c r="D56">
        <v>1.91</v>
      </c>
      <c r="E56">
        <v>6</v>
      </c>
      <c r="F56">
        <v>4.79</v>
      </c>
      <c r="G56">
        <f t="shared" si="0"/>
        <v>0.501570680628272</v>
      </c>
      <c r="H56">
        <f t="shared" si="1"/>
        <v>50.1570680628272</v>
      </c>
    </row>
    <row r="64" spans="1:1">
      <c r="A64" t="s">
        <v>11</v>
      </c>
    </row>
    <row r="65" spans="1:6">
      <c r="A65" t="s">
        <v>1</v>
      </c>
      <c r="B65" t="s">
        <v>2</v>
      </c>
      <c r="C65" t="s">
        <v>3</v>
      </c>
      <c r="D65" t="s">
        <v>4</v>
      </c>
      <c r="E65" t="s">
        <v>5</v>
      </c>
      <c r="F65" t="s">
        <v>6</v>
      </c>
    </row>
    <row r="66" spans="1:8">
      <c r="A66">
        <v>5</v>
      </c>
      <c r="B66">
        <v>10</v>
      </c>
      <c r="C66">
        <v>35</v>
      </c>
      <c r="D66">
        <v>0.05</v>
      </c>
      <c r="E66">
        <v>2.37</v>
      </c>
      <c r="F66">
        <v>0.47</v>
      </c>
      <c r="G66">
        <f t="shared" si="0"/>
        <v>0.636514285714286</v>
      </c>
      <c r="H66">
        <f t="shared" si="1"/>
        <v>63.6514285714286</v>
      </c>
    </row>
    <row r="67" spans="1:8">
      <c r="A67">
        <v>5</v>
      </c>
      <c r="B67">
        <v>20</v>
      </c>
      <c r="C67">
        <v>35</v>
      </c>
      <c r="D67">
        <v>0.25</v>
      </c>
      <c r="E67">
        <v>5.42</v>
      </c>
      <c r="F67">
        <v>1.09</v>
      </c>
      <c r="G67">
        <f t="shared" si="0"/>
        <v>0.675177142857143</v>
      </c>
      <c r="H67">
        <f t="shared" si="1"/>
        <v>67.5177142857143</v>
      </c>
    </row>
    <row r="68" spans="1:8">
      <c r="A68">
        <v>5</v>
      </c>
      <c r="B68">
        <v>30</v>
      </c>
      <c r="C68">
        <v>35</v>
      </c>
      <c r="D68">
        <v>0.52</v>
      </c>
      <c r="E68">
        <v>7.91</v>
      </c>
      <c r="F68">
        <v>1.55</v>
      </c>
      <c r="G68">
        <f t="shared" ref="G68:G99" si="2">F68*E68/(D68*C68)</f>
        <v>0.673653846153846</v>
      </c>
      <c r="H68">
        <f t="shared" ref="H68:H99" si="3">G68*100</f>
        <v>67.3653846153846</v>
      </c>
    </row>
    <row r="69" spans="1:8">
      <c r="A69">
        <v>5</v>
      </c>
      <c r="B69">
        <v>40</v>
      </c>
      <c r="C69">
        <v>35</v>
      </c>
      <c r="D69">
        <v>0.98</v>
      </c>
      <c r="E69">
        <v>10.78</v>
      </c>
      <c r="F69">
        <v>2.1</v>
      </c>
      <c r="G69">
        <f t="shared" si="2"/>
        <v>0.66</v>
      </c>
      <c r="H69">
        <f t="shared" si="3"/>
        <v>66</v>
      </c>
    </row>
    <row r="70" spans="1:8">
      <c r="A70">
        <v>2.5</v>
      </c>
      <c r="B70">
        <v>10</v>
      </c>
      <c r="C70">
        <v>35</v>
      </c>
      <c r="D70">
        <v>0.08</v>
      </c>
      <c r="E70">
        <v>2.03</v>
      </c>
      <c r="F70">
        <v>0.81</v>
      </c>
      <c r="G70">
        <f t="shared" si="2"/>
        <v>0.58725</v>
      </c>
      <c r="H70">
        <f t="shared" si="3"/>
        <v>58.725</v>
      </c>
    </row>
    <row r="71" spans="1:8">
      <c r="A71">
        <v>2.5</v>
      </c>
      <c r="B71">
        <v>20</v>
      </c>
      <c r="C71">
        <v>35</v>
      </c>
      <c r="D71">
        <v>0.42</v>
      </c>
      <c r="E71">
        <v>4.75</v>
      </c>
      <c r="F71">
        <v>1.9</v>
      </c>
      <c r="G71">
        <f t="shared" si="2"/>
        <v>0.613945578231293</v>
      </c>
      <c r="H71">
        <f t="shared" si="3"/>
        <v>61.3945578231293</v>
      </c>
    </row>
    <row r="72" spans="1:8">
      <c r="A72">
        <v>2.5</v>
      </c>
      <c r="B72">
        <v>30</v>
      </c>
      <c r="C72">
        <v>35</v>
      </c>
      <c r="D72">
        <v>0.91</v>
      </c>
      <c r="E72">
        <v>7.01</v>
      </c>
      <c r="F72">
        <v>2.84</v>
      </c>
      <c r="G72">
        <f t="shared" si="2"/>
        <v>0.625067503924647</v>
      </c>
      <c r="H72">
        <f t="shared" si="3"/>
        <v>62.5067503924647</v>
      </c>
    </row>
    <row r="73" spans="1:8">
      <c r="A73">
        <v>2.5</v>
      </c>
      <c r="B73">
        <v>40</v>
      </c>
      <c r="C73">
        <v>35</v>
      </c>
      <c r="D73">
        <v>1.59</v>
      </c>
      <c r="E73">
        <v>9.28</v>
      </c>
      <c r="F73">
        <v>3.73</v>
      </c>
      <c r="G73">
        <f t="shared" si="2"/>
        <v>0.622001796945193</v>
      </c>
      <c r="H73">
        <f t="shared" si="3"/>
        <v>62.2001796945193</v>
      </c>
    </row>
    <row r="74" spans="1:8">
      <c r="A74">
        <v>1.67</v>
      </c>
      <c r="B74">
        <v>10</v>
      </c>
      <c r="C74">
        <v>35</v>
      </c>
      <c r="D74">
        <v>0.09</v>
      </c>
      <c r="E74" s="1">
        <v>1.6</v>
      </c>
      <c r="F74">
        <v>0.96</v>
      </c>
      <c r="G74">
        <f t="shared" si="2"/>
        <v>0.487619047619048</v>
      </c>
      <c r="H74">
        <f t="shared" si="3"/>
        <v>48.7619047619048</v>
      </c>
    </row>
    <row r="75" spans="1:8">
      <c r="A75">
        <v>1.67</v>
      </c>
      <c r="B75">
        <v>20</v>
      </c>
      <c r="C75">
        <v>35</v>
      </c>
      <c r="D75">
        <v>0.54</v>
      </c>
      <c r="E75">
        <v>4.27</v>
      </c>
      <c r="F75">
        <v>2.48</v>
      </c>
      <c r="G75">
        <f t="shared" si="2"/>
        <v>0.560296296296296</v>
      </c>
      <c r="H75">
        <f t="shared" si="3"/>
        <v>56.0296296296296</v>
      </c>
    </row>
    <row r="76" spans="1:8">
      <c r="A76">
        <v>1.67</v>
      </c>
      <c r="B76">
        <v>30</v>
      </c>
      <c r="C76">
        <v>35</v>
      </c>
      <c r="D76">
        <v>1.17</v>
      </c>
      <c r="E76" s="1">
        <v>6.2</v>
      </c>
      <c r="F76">
        <v>3.78</v>
      </c>
      <c r="G76">
        <f t="shared" si="2"/>
        <v>0.572307692307692</v>
      </c>
      <c r="H76">
        <f t="shared" si="3"/>
        <v>57.2307692307692</v>
      </c>
    </row>
    <row r="77" spans="1:8">
      <c r="A77">
        <v>1.67</v>
      </c>
      <c r="B77">
        <v>40</v>
      </c>
      <c r="C77">
        <v>35</v>
      </c>
      <c r="D77">
        <v>2.03</v>
      </c>
      <c r="E77" s="1">
        <v>8.2</v>
      </c>
      <c r="F77">
        <v>4.92</v>
      </c>
      <c r="G77">
        <f t="shared" si="2"/>
        <v>0.567825475017593</v>
      </c>
      <c r="H77">
        <f t="shared" si="3"/>
        <v>56.7825475017593</v>
      </c>
    </row>
    <row r="78" spans="1:8">
      <c r="A78">
        <v>1.25</v>
      </c>
      <c r="B78">
        <v>10</v>
      </c>
      <c r="C78">
        <v>35</v>
      </c>
      <c r="D78">
        <v>0.14</v>
      </c>
      <c r="E78">
        <v>1.71</v>
      </c>
      <c r="F78">
        <v>1.35</v>
      </c>
      <c r="G78">
        <f t="shared" si="2"/>
        <v>0.471122448979592</v>
      </c>
      <c r="H78">
        <f t="shared" si="3"/>
        <v>47.1122448979592</v>
      </c>
    </row>
    <row r="79" spans="1:8">
      <c r="A79">
        <v>1.25</v>
      </c>
      <c r="B79">
        <v>20</v>
      </c>
      <c r="C79">
        <v>35</v>
      </c>
      <c r="D79">
        <v>0.61</v>
      </c>
      <c r="E79">
        <v>3.78</v>
      </c>
      <c r="F79">
        <v>3</v>
      </c>
      <c r="G79">
        <f t="shared" si="2"/>
        <v>0.531147540983607</v>
      </c>
      <c r="H79">
        <f t="shared" si="3"/>
        <v>53.1147540983607</v>
      </c>
    </row>
    <row r="80" spans="1:8">
      <c r="A80">
        <v>1.25</v>
      </c>
      <c r="B80">
        <v>30</v>
      </c>
      <c r="C80">
        <v>35</v>
      </c>
      <c r="D80">
        <v>1.37</v>
      </c>
      <c r="E80">
        <v>5.64</v>
      </c>
      <c r="F80">
        <v>4.49</v>
      </c>
      <c r="G80">
        <f t="shared" si="2"/>
        <v>0.528125130344108</v>
      </c>
      <c r="H80">
        <f t="shared" si="3"/>
        <v>52.8125130344108</v>
      </c>
    </row>
    <row r="81" spans="1:8">
      <c r="A81">
        <v>1.25</v>
      </c>
      <c r="B81">
        <v>40</v>
      </c>
      <c r="C81">
        <v>35</v>
      </c>
      <c r="D81">
        <v>2.32</v>
      </c>
      <c r="E81">
        <v>7.33</v>
      </c>
      <c r="F81">
        <v>5.83</v>
      </c>
      <c r="G81">
        <f t="shared" si="2"/>
        <v>0.526279556650246</v>
      </c>
      <c r="H81">
        <f t="shared" si="3"/>
        <v>52.6279556650246</v>
      </c>
    </row>
    <row r="83" spans="1:1">
      <c r="A83" t="s">
        <v>12</v>
      </c>
    </row>
    <row r="84" spans="1:6">
      <c r="A84" t="s">
        <v>1</v>
      </c>
      <c r="B84" t="s">
        <v>2</v>
      </c>
      <c r="C84" t="s">
        <v>3</v>
      </c>
      <c r="D84" t="s">
        <v>4</v>
      </c>
      <c r="E84" t="s">
        <v>5</v>
      </c>
      <c r="F84" t="s">
        <v>6</v>
      </c>
    </row>
    <row r="85" spans="1:8">
      <c r="A85">
        <v>5</v>
      </c>
      <c r="B85">
        <v>10</v>
      </c>
      <c r="C85">
        <v>42</v>
      </c>
      <c r="D85">
        <v>0.07</v>
      </c>
      <c r="E85">
        <v>3.08</v>
      </c>
      <c r="F85">
        <v>0.61</v>
      </c>
      <c r="G85">
        <f t="shared" si="2"/>
        <v>0.639047619047619</v>
      </c>
      <c r="H85">
        <f t="shared" si="3"/>
        <v>63.9047619047619</v>
      </c>
    </row>
    <row r="86" spans="1:8">
      <c r="A86">
        <v>5</v>
      </c>
      <c r="B86">
        <v>20</v>
      </c>
      <c r="C86">
        <v>42</v>
      </c>
      <c r="D86">
        <v>0.31</v>
      </c>
      <c r="E86">
        <v>6.67</v>
      </c>
      <c r="F86">
        <v>1.34</v>
      </c>
      <c r="G86">
        <f t="shared" si="2"/>
        <v>0.686466973886329</v>
      </c>
      <c r="H86">
        <f t="shared" si="3"/>
        <v>68.6466973886329</v>
      </c>
    </row>
    <row r="87" spans="1:8">
      <c r="A87">
        <v>5</v>
      </c>
      <c r="B87">
        <v>30</v>
      </c>
      <c r="C87">
        <v>42</v>
      </c>
      <c r="D87">
        <v>0.67</v>
      </c>
      <c r="E87">
        <v>9.8</v>
      </c>
      <c r="F87">
        <v>1.98</v>
      </c>
      <c r="G87">
        <f t="shared" si="2"/>
        <v>0.68955223880597</v>
      </c>
      <c r="H87">
        <f t="shared" si="3"/>
        <v>68.955223880597</v>
      </c>
    </row>
    <row r="88" spans="1:8">
      <c r="A88">
        <v>5</v>
      </c>
      <c r="B88">
        <v>40</v>
      </c>
      <c r="C88">
        <v>42</v>
      </c>
      <c r="D88">
        <v>1.22</v>
      </c>
      <c r="E88">
        <v>13.22</v>
      </c>
      <c r="F88">
        <v>2.67</v>
      </c>
      <c r="G88">
        <f t="shared" si="2"/>
        <v>0.688864168618267</v>
      </c>
      <c r="H88">
        <f t="shared" si="3"/>
        <v>68.8864168618267</v>
      </c>
    </row>
    <row r="89" spans="1:8">
      <c r="A89">
        <v>2.5</v>
      </c>
      <c r="B89">
        <v>10</v>
      </c>
      <c r="C89">
        <v>42</v>
      </c>
      <c r="D89">
        <v>0.12</v>
      </c>
      <c r="E89">
        <v>2.68</v>
      </c>
      <c r="F89">
        <v>1.07</v>
      </c>
      <c r="G89">
        <f t="shared" si="2"/>
        <v>0.568968253968254</v>
      </c>
      <c r="H89">
        <f t="shared" si="3"/>
        <v>56.8968253968254</v>
      </c>
    </row>
    <row r="90" spans="1:8">
      <c r="A90">
        <v>2.5</v>
      </c>
      <c r="B90">
        <v>20</v>
      </c>
      <c r="C90">
        <v>42</v>
      </c>
      <c r="D90">
        <v>0.51</v>
      </c>
      <c r="E90">
        <v>5.83</v>
      </c>
      <c r="F90">
        <v>2.35</v>
      </c>
      <c r="G90">
        <f t="shared" si="2"/>
        <v>0.639612511671335</v>
      </c>
      <c r="H90">
        <f t="shared" si="3"/>
        <v>63.9612511671335</v>
      </c>
    </row>
    <row r="91" spans="1:8">
      <c r="A91">
        <v>2.5</v>
      </c>
      <c r="B91">
        <v>30</v>
      </c>
      <c r="C91">
        <v>42</v>
      </c>
      <c r="D91">
        <v>1.16</v>
      </c>
      <c r="E91">
        <v>8.83</v>
      </c>
      <c r="F91">
        <v>3.55</v>
      </c>
      <c r="G91">
        <f t="shared" si="2"/>
        <v>0.643401067323481</v>
      </c>
      <c r="H91">
        <f t="shared" si="3"/>
        <v>64.3401067323481</v>
      </c>
    </row>
    <row r="92" spans="1:8">
      <c r="A92">
        <v>2.5</v>
      </c>
      <c r="B92">
        <v>40</v>
      </c>
      <c r="C92">
        <v>42</v>
      </c>
      <c r="D92">
        <v>1.95</v>
      </c>
      <c r="E92">
        <v>11.35</v>
      </c>
      <c r="F92">
        <v>4.75</v>
      </c>
      <c r="G92">
        <f t="shared" si="2"/>
        <v>0.658272283272283</v>
      </c>
      <c r="H92">
        <f t="shared" si="3"/>
        <v>65.8272283272283</v>
      </c>
    </row>
    <row r="93" spans="1:8">
      <c r="A93">
        <v>1.67</v>
      </c>
      <c r="B93">
        <v>10</v>
      </c>
      <c r="C93">
        <v>42</v>
      </c>
      <c r="D93">
        <v>0.18</v>
      </c>
      <c r="E93" s="1">
        <v>2.6</v>
      </c>
      <c r="F93">
        <v>1.56</v>
      </c>
      <c r="G93">
        <f t="shared" si="2"/>
        <v>0.536507936507936</v>
      </c>
      <c r="H93">
        <f t="shared" si="3"/>
        <v>53.6507936507937</v>
      </c>
    </row>
    <row r="94" spans="1:8">
      <c r="A94">
        <v>1.67</v>
      </c>
      <c r="B94">
        <v>20</v>
      </c>
      <c r="C94">
        <v>42</v>
      </c>
      <c r="D94">
        <v>0.65</v>
      </c>
      <c r="E94">
        <v>5.23</v>
      </c>
      <c r="F94">
        <v>3.13</v>
      </c>
      <c r="G94">
        <f t="shared" si="2"/>
        <v>0.599630036630037</v>
      </c>
      <c r="H94">
        <f t="shared" si="3"/>
        <v>59.9630036630037</v>
      </c>
    </row>
    <row r="95" spans="1:8">
      <c r="A95">
        <v>1.67</v>
      </c>
      <c r="B95">
        <v>30</v>
      </c>
      <c r="C95">
        <v>42</v>
      </c>
      <c r="D95" s="1">
        <v>1.6</v>
      </c>
      <c r="E95">
        <v>7.61</v>
      </c>
      <c r="F95">
        <v>4.56</v>
      </c>
      <c r="G95">
        <f t="shared" si="2"/>
        <v>0.516392857142857</v>
      </c>
      <c r="H95">
        <f t="shared" si="3"/>
        <v>51.6392857142857</v>
      </c>
    </row>
    <row r="96" spans="1:8">
      <c r="A96">
        <v>1.67</v>
      </c>
      <c r="B96">
        <v>40</v>
      </c>
      <c r="C96">
        <v>42</v>
      </c>
      <c r="D96">
        <v>2.45</v>
      </c>
      <c r="E96">
        <v>9.99</v>
      </c>
      <c r="F96">
        <v>6.02</v>
      </c>
      <c r="G96">
        <f t="shared" si="2"/>
        <v>0.584448979591837</v>
      </c>
      <c r="H96">
        <f t="shared" si="3"/>
        <v>58.4448979591837</v>
      </c>
    </row>
    <row r="97" spans="1:8">
      <c r="A97">
        <v>1.25</v>
      </c>
      <c r="B97">
        <v>10</v>
      </c>
      <c r="C97">
        <v>42</v>
      </c>
      <c r="D97">
        <v>0.18</v>
      </c>
      <c r="E97">
        <v>2.19</v>
      </c>
      <c r="F97">
        <v>1.74</v>
      </c>
      <c r="G97">
        <f t="shared" si="2"/>
        <v>0.504047619047619</v>
      </c>
      <c r="H97">
        <f t="shared" si="3"/>
        <v>50.4047619047619</v>
      </c>
    </row>
    <row r="98" spans="1:8">
      <c r="A98">
        <v>1.25</v>
      </c>
      <c r="B98">
        <v>20</v>
      </c>
      <c r="C98">
        <v>42</v>
      </c>
      <c r="D98">
        <v>0.79</v>
      </c>
      <c r="E98">
        <v>4.73</v>
      </c>
      <c r="F98">
        <v>3.76</v>
      </c>
      <c r="G98">
        <f t="shared" si="2"/>
        <v>0.536009644364075</v>
      </c>
      <c r="H98">
        <f t="shared" si="3"/>
        <v>53.6009644364075</v>
      </c>
    </row>
    <row r="99" spans="1:8">
      <c r="A99">
        <v>1.25</v>
      </c>
      <c r="B99">
        <v>30</v>
      </c>
      <c r="C99">
        <v>42</v>
      </c>
      <c r="D99">
        <v>1.69</v>
      </c>
      <c r="E99">
        <v>6.99</v>
      </c>
      <c r="F99">
        <v>5.55</v>
      </c>
      <c r="G99">
        <f t="shared" si="2"/>
        <v>0.546555367709214</v>
      </c>
      <c r="H99">
        <f t="shared" si="3"/>
        <v>54.6555367709214</v>
      </c>
    </row>
    <row r="100" spans="1:8">
      <c r="A100">
        <v>1.25</v>
      </c>
      <c r="B100">
        <v>40</v>
      </c>
      <c r="C100">
        <v>42</v>
      </c>
      <c r="D100">
        <v>2.85</v>
      </c>
      <c r="E100">
        <v>8.95</v>
      </c>
      <c r="F100">
        <v>7.14</v>
      </c>
      <c r="G100">
        <f>F100*E100/(D100*C100)</f>
        <v>0.533859649122807</v>
      </c>
      <c r="H100">
        <f>G100*100</f>
        <v>53.3859649122807</v>
      </c>
    </row>
    <row r="105" spans="1:1">
      <c r="A105" t="s">
        <v>13</v>
      </c>
    </row>
    <row r="106" spans="1:1">
      <c r="A106" t="s">
        <v>14</v>
      </c>
    </row>
    <row r="107" spans="1:7">
      <c r="A107" t="s">
        <v>1</v>
      </c>
      <c r="B107" t="s">
        <v>2</v>
      </c>
      <c r="C107" t="s">
        <v>3</v>
      </c>
      <c r="D107" t="s">
        <v>4</v>
      </c>
      <c r="E107" t="s">
        <v>5</v>
      </c>
      <c r="F107" t="s">
        <v>6</v>
      </c>
      <c r="G107" t="s">
        <v>7</v>
      </c>
    </row>
    <row r="108" spans="1:7">
      <c r="A108">
        <v>5</v>
      </c>
      <c r="B108">
        <v>10</v>
      </c>
      <c r="C108">
        <v>35</v>
      </c>
      <c r="D108">
        <v>0.228</v>
      </c>
      <c r="E108">
        <v>3.92</v>
      </c>
      <c r="F108">
        <v>0.78</v>
      </c>
      <c r="G108">
        <f>(E108*F108)/(C108*D108)*100</f>
        <v>38.3157894736842</v>
      </c>
    </row>
    <row r="109" spans="1:7">
      <c r="A109">
        <v>5</v>
      </c>
      <c r="B109">
        <v>20</v>
      </c>
      <c r="C109">
        <v>35</v>
      </c>
      <c r="D109">
        <v>0.628</v>
      </c>
      <c r="E109">
        <v>7.1</v>
      </c>
      <c r="F109">
        <v>1.42</v>
      </c>
      <c r="G109">
        <f t="shared" ref="G109:G123" si="4">(E109*F109)/(C109*D109)*100</f>
        <v>45.8689717925387</v>
      </c>
    </row>
    <row r="110" spans="1:7">
      <c r="A110">
        <v>5</v>
      </c>
      <c r="B110">
        <v>30</v>
      </c>
      <c r="C110">
        <v>35</v>
      </c>
      <c r="D110">
        <v>1.076</v>
      </c>
      <c r="E110">
        <v>9.59</v>
      </c>
      <c r="F110">
        <v>1.92</v>
      </c>
      <c r="G110">
        <f t="shared" si="4"/>
        <v>48.8921933085502</v>
      </c>
    </row>
    <row r="111" spans="1:7">
      <c r="A111">
        <v>5</v>
      </c>
      <c r="B111">
        <v>40</v>
      </c>
      <c r="C111">
        <v>35</v>
      </c>
      <c r="D111">
        <v>1.672</v>
      </c>
      <c r="E111">
        <v>11.94</v>
      </c>
      <c r="F111">
        <v>2.4</v>
      </c>
      <c r="G111">
        <f t="shared" si="4"/>
        <v>48.9678742310321</v>
      </c>
    </row>
    <row r="112" spans="1:7">
      <c r="A112">
        <v>2.5</v>
      </c>
      <c r="B112">
        <v>10</v>
      </c>
      <c r="C112">
        <v>35</v>
      </c>
      <c r="D112">
        <v>0.438</v>
      </c>
      <c r="E112">
        <v>3.89</v>
      </c>
      <c r="F112">
        <v>1.55</v>
      </c>
      <c r="G112">
        <f t="shared" si="4"/>
        <v>39.3313763861709</v>
      </c>
    </row>
    <row r="113" spans="1:7">
      <c r="A113">
        <v>2.5</v>
      </c>
      <c r="B113">
        <v>20</v>
      </c>
      <c r="C113">
        <v>35</v>
      </c>
      <c r="D113">
        <v>0.902</v>
      </c>
      <c r="E113" s="1">
        <v>5.91</v>
      </c>
      <c r="F113">
        <v>2.35</v>
      </c>
      <c r="G113">
        <f t="shared" si="4"/>
        <v>43.9927146024707</v>
      </c>
    </row>
    <row r="114" spans="1:7">
      <c r="A114">
        <v>2.5</v>
      </c>
      <c r="B114">
        <v>30</v>
      </c>
      <c r="C114">
        <v>35</v>
      </c>
      <c r="D114" s="2">
        <v>1.48</v>
      </c>
      <c r="E114">
        <v>7.66</v>
      </c>
      <c r="F114">
        <v>3.05</v>
      </c>
      <c r="G114">
        <f t="shared" si="4"/>
        <v>45.1023166023166</v>
      </c>
    </row>
    <row r="115" spans="1:7">
      <c r="A115">
        <v>2.5</v>
      </c>
      <c r="B115">
        <v>40</v>
      </c>
      <c r="C115">
        <v>35</v>
      </c>
      <c r="D115">
        <v>2.284</v>
      </c>
      <c r="E115">
        <v>9.27</v>
      </c>
      <c r="F115">
        <v>3.7</v>
      </c>
      <c r="G115">
        <f t="shared" si="4"/>
        <v>42.9059294470853</v>
      </c>
    </row>
    <row r="116" spans="1:7">
      <c r="A116">
        <v>1.67</v>
      </c>
      <c r="B116">
        <v>10</v>
      </c>
      <c r="C116">
        <v>35</v>
      </c>
      <c r="D116">
        <v>0.513</v>
      </c>
      <c r="E116" s="1">
        <v>3.35</v>
      </c>
      <c r="F116">
        <v>1.99</v>
      </c>
      <c r="G116">
        <f t="shared" si="4"/>
        <v>37.1289334447229</v>
      </c>
    </row>
    <row r="117" spans="1:7">
      <c r="A117">
        <v>1.67</v>
      </c>
      <c r="B117">
        <v>20</v>
      </c>
      <c r="C117">
        <v>35</v>
      </c>
      <c r="D117">
        <v>1.089</v>
      </c>
      <c r="E117" s="1">
        <v>5.1</v>
      </c>
      <c r="F117">
        <v>3.04</v>
      </c>
      <c r="G117">
        <f t="shared" si="4"/>
        <v>40.676898858717</v>
      </c>
    </row>
    <row r="118" spans="1:7">
      <c r="A118">
        <v>1.67</v>
      </c>
      <c r="B118">
        <v>30</v>
      </c>
      <c r="C118">
        <v>35</v>
      </c>
      <c r="D118">
        <v>1.773</v>
      </c>
      <c r="E118" s="1">
        <v>6.51</v>
      </c>
      <c r="F118" s="1">
        <v>3.88</v>
      </c>
      <c r="G118">
        <f t="shared" si="4"/>
        <v>40.7038917089679</v>
      </c>
    </row>
    <row r="119" spans="1:7">
      <c r="A119">
        <v>1.67</v>
      </c>
      <c r="B119">
        <v>40</v>
      </c>
      <c r="C119">
        <v>35</v>
      </c>
      <c r="D119" s="1">
        <v>2.643</v>
      </c>
      <c r="E119">
        <v>7.63</v>
      </c>
      <c r="F119">
        <v>4.55</v>
      </c>
      <c r="G119">
        <f t="shared" si="4"/>
        <v>37.5293227393114</v>
      </c>
    </row>
    <row r="120" spans="1:7">
      <c r="A120">
        <v>1.25</v>
      </c>
      <c r="B120">
        <v>10</v>
      </c>
      <c r="C120">
        <v>35</v>
      </c>
      <c r="D120">
        <v>0.625</v>
      </c>
      <c r="E120" s="1">
        <v>3.1</v>
      </c>
      <c r="F120">
        <v>2.45</v>
      </c>
      <c r="G120">
        <f t="shared" si="4"/>
        <v>34.72</v>
      </c>
    </row>
    <row r="121" spans="1:7">
      <c r="A121">
        <v>1.25</v>
      </c>
      <c r="B121">
        <v>20</v>
      </c>
      <c r="C121">
        <v>35</v>
      </c>
      <c r="D121">
        <v>1.218</v>
      </c>
      <c r="E121" s="1">
        <v>4.5</v>
      </c>
      <c r="F121">
        <v>3.56</v>
      </c>
      <c r="G121">
        <f t="shared" si="4"/>
        <v>37.579169598874</v>
      </c>
    </row>
    <row r="122" spans="1:7">
      <c r="A122">
        <v>1.25</v>
      </c>
      <c r="B122">
        <v>30</v>
      </c>
      <c r="C122">
        <v>35</v>
      </c>
      <c r="D122" s="1">
        <v>1.948</v>
      </c>
      <c r="E122" s="1">
        <v>5.56</v>
      </c>
      <c r="F122">
        <v>4.47</v>
      </c>
      <c r="G122">
        <f t="shared" si="4"/>
        <v>36.4523320621883</v>
      </c>
    </row>
    <row r="123" spans="1:7">
      <c r="A123">
        <v>1.25</v>
      </c>
      <c r="B123">
        <v>40</v>
      </c>
      <c r="C123">
        <v>35</v>
      </c>
      <c r="D123">
        <v>2.885</v>
      </c>
      <c r="E123">
        <v>6.53</v>
      </c>
      <c r="F123">
        <v>5.17</v>
      </c>
      <c r="G123">
        <f t="shared" si="4"/>
        <v>33.4341173557811</v>
      </c>
    </row>
    <row r="126" spans="1:1">
      <c r="A126" t="s">
        <v>15</v>
      </c>
    </row>
    <row r="127" spans="1:1">
      <c r="A127" t="s">
        <v>16</v>
      </c>
    </row>
    <row r="128" spans="1:7">
      <c r="A128" t="s">
        <v>1</v>
      </c>
      <c r="B128" t="s">
        <v>2</v>
      </c>
      <c r="C128" t="s">
        <v>3</v>
      </c>
      <c r="D128" t="s">
        <v>4</v>
      </c>
      <c r="E128" t="s">
        <v>5</v>
      </c>
      <c r="F128" t="s">
        <v>6</v>
      </c>
      <c r="G128" t="s">
        <v>7</v>
      </c>
    </row>
    <row r="129" spans="1:7">
      <c r="A129">
        <v>5</v>
      </c>
      <c r="B129">
        <v>22.1</v>
      </c>
      <c r="C129">
        <v>35</v>
      </c>
      <c r="D129">
        <v>0.731</v>
      </c>
      <c r="E129">
        <v>8.12</v>
      </c>
      <c r="F129">
        <v>1.64</v>
      </c>
      <c r="G129">
        <f>E129*F129/(C129*D129)*100</f>
        <v>52.0492476060191</v>
      </c>
    </row>
    <row r="130" spans="1:7">
      <c r="A130">
        <v>2.5</v>
      </c>
      <c r="B130">
        <v>26.7</v>
      </c>
      <c r="C130">
        <v>35</v>
      </c>
      <c r="D130">
        <v>1.425</v>
      </c>
      <c r="E130">
        <v>8.41</v>
      </c>
      <c r="F130">
        <v>3.27</v>
      </c>
      <c r="G130">
        <f>E130*F130/(C130*D130)*100</f>
        <v>55.1392481203008</v>
      </c>
    </row>
    <row r="131" spans="1:7">
      <c r="A131">
        <v>1.67</v>
      </c>
      <c r="B131">
        <v>34.3</v>
      </c>
      <c r="C131">
        <v>35</v>
      </c>
      <c r="D131">
        <v>2.336</v>
      </c>
      <c r="E131">
        <v>8.31</v>
      </c>
      <c r="F131">
        <v>4.88</v>
      </c>
      <c r="G131">
        <f>E131*F131/(C131*D131)*100</f>
        <v>49.5998043052838</v>
      </c>
    </row>
    <row r="132" spans="1:7">
      <c r="A132">
        <v>1.25</v>
      </c>
      <c r="B132">
        <v>41.6</v>
      </c>
      <c r="C132">
        <v>35</v>
      </c>
      <c r="D132">
        <v>3.178</v>
      </c>
      <c r="E132" s="1">
        <v>7.71</v>
      </c>
      <c r="F132">
        <v>6.01</v>
      </c>
      <c r="G132">
        <f>E132*F132/(C132*D132)*100</f>
        <v>41.6588150678774</v>
      </c>
    </row>
    <row r="133" spans="5:5">
      <c r="E133" s="1"/>
    </row>
    <row r="134" spans="6:6">
      <c r="F134" s="1"/>
    </row>
    <row r="138" spans="5:5">
      <c r="E138" s="1"/>
    </row>
    <row r="139" spans="5:5">
      <c r="E139" s="1"/>
    </row>
    <row r="142" spans="6:6">
      <c r="F142" s="1"/>
    </row>
    <row r="152" spans="4:4">
      <c r="D152" s="1"/>
    </row>
    <row r="153" spans="6:6">
      <c r="F153" s="1"/>
    </row>
    <row r="176" spans="5:5">
      <c r="E176" s="1"/>
    </row>
    <row r="178" spans="5:5">
      <c r="E178" s="1"/>
    </row>
    <row r="179" spans="5:5">
      <c r="E179" s="1"/>
    </row>
    <row r="196" spans="5:5">
      <c r="E196" s="1"/>
    </row>
    <row r="198" spans="4:4">
      <c r="D198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yi siang goh</dc:creator>
  <cp:lastModifiedBy>user</cp:lastModifiedBy>
  <dcterms:created xsi:type="dcterms:W3CDTF">2026-02-13T03:28:00Z</dcterms:created>
  <dcterms:modified xsi:type="dcterms:W3CDTF">2026-03-16T08:32:11Z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E3A16B8CEBF0415A9A405CBD5AE3A7A4_13</vt:lpwstr>
  </property>
  <property fmtid="{D5CDD505-2E9C-101B-9397-08002B2CF9AE}" pid="3" name="KSOProductBuildVer">
    <vt:lpwstr>1033-12.2.0.23196</vt:lpwstr>
  </property>
</Properties>
</file>